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515" codeName="{7A2D7E96-6E34-419A-AE5F-296B3A7E7977}"/>
  <workbookPr showInkAnnotation="0" codeName="ThisWorkbook" autoCompressPictures="0"/>
  <bookViews>
    <workbookView xWindow="0" yWindow="0" windowWidth="28800" windowHeight="16340" tabRatio="500"/>
  </bookViews>
  <sheets>
    <sheet name="Sheet1" sheetId="1" r:id="rId1"/>
  </sheets>
  <definedNames>
    <definedName name="CashSpent">Sheet1!$I$4</definedName>
    <definedName name="Coins">Sheet1!$G$4</definedName>
    <definedName name="GoldDiscs">Sheet1!$H$4</definedName>
    <definedName name="Item1">Sheet1!$I$8</definedName>
    <definedName name="Item10">Sheet1!$I$17</definedName>
    <definedName name="Item10Count">Sheet1!$H$17</definedName>
    <definedName name="Item10PriceCoins">Sheet1!$E$17</definedName>
    <definedName name="Item10PriceGDs">Sheet1!$F$17</definedName>
    <definedName name="Item11">Sheet1!$I$18</definedName>
    <definedName name="Item11Count">Sheet1!$H$18</definedName>
    <definedName name="Item11PriceCoins">Sheet1!$E$18</definedName>
    <definedName name="Item11PriceGDs">Sheet1!$F$18</definedName>
    <definedName name="Item1Count">Sheet1!$H$8</definedName>
    <definedName name="Item1PriceCoins">Sheet1!$E$8</definedName>
    <definedName name="Item1PriceGDs">Sheet1!$F$8</definedName>
    <definedName name="Item2">Sheet1!$I$9</definedName>
    <definedName name="Item2Count">Sheet1!$H$9</definedName>
    <definedName name="Item2PriceCoins">Sheet1!$E$9</definedName>
    <definedName name="Item2PriceGDs">Sheet1!$F$9</definedName>
    <definedName name="Item3">Sheet1!$I$10</definedName>
    <definedName name="Item3Count">Sheet1!$H$10</definedName>
    <definedName name="Item3PriceCoins">Sheet1!$E$10</definedName>
    <definedName name="Item3PriceGDs">Sheet1!$F$10</definedName>
    <definedName name="Item4">Sheet1!$I$11</definedName>
    <definedName name="Item4Count">Sheet1!$H$11</definedName>
    <definedName name="Item4PriceCoins">Sheet1!$E$11</definedName>
    <definedName name="Item4PriceGDs">Sheet1!$F$11</definedName>
    <definedName name="Item5">Sheet1!$I$12</definedName>
    <definedName name="Item5Count">Sheet1!$H$12</definedName>
    <definedName name="Item5PriceCoins">Sheet1!$E$12</definedName>
    <definedName name="Item5PriceGDs">Sheet1!$F$12</definedName>
    <definedName name="Item6">Sheet1!$I$13</definedName>
    <definedName name="Item6Count">Sheet1!$H$13</definedName>
    <definedName name="Item6PriceCoins">Sheet1!$E$13</definedName>
    <definedName name="Item6PriceGDs">Sheet1!$F$13</definedName>
    <definedName name="Item7">Sheet1!$I$14</definedName>
    <definedName name="Item7Count">Sheet1!$H$14</definedName>
    <definedName name="Item7PriceCoins">Sheet1!$E$14</definedName>
    <definedName name="Item7PriceGDs">Sheet1!$F$14</definedName>
    <definedName name="Item8">Sheet1!$I$15</definedName>
    <definedName name="Item8Count">Sheet1!$H$15</definedName>
    <definedName name="Item8PriceCoins">Sheet1!$E$15</definedName>
    <definedName name="Item8PriceGDs">Sheet1!$F$15</definedName>
    <definedName name="Item9">Sheet1!$I$16</definedName>
    <definedName name="Item9Count">Sheet1!$H$16</definedName>
    <definedName name="Item9PriceCoins">Sheet1!$E$16</definedName>
    <definedName name="Item9PriceGDs">Sheet1!$F$16</definedName>
    <definedName name="Level">Sheet1!$F$5</definedName>
    <definedName name="m_GoldDiscsPriceCashGBP">Sheet1!$C$4</definedName>
    <definedName name="m_GoldDiscsPriceCoins">Sheet1!$C$3</definedName>
    <definedName name="XP">Sheet1!$F$4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1" l="1"/>
  <c r="G18" i="1"/>
  <c r="I18" i="1"/>
  <c r="G17" i="1"/>
  <c r="I17" i="1"/>
  <c r="G16" i="1"/>
  <c r="I16" i="1"/>
  <c r="G15" i="1"/>
  <c r="G14" i="1"/>
  <c r="G13" i="1"/>
  <c r="G12" i="1"/>
  <c r="G11" i="1"/>
  <c r="G10" i="1"/>
  <c r="G9" i="1"/>
  <c r="G8" i="1"/>
  <c r="I10" i="1"/>
  <c r="I8" i="1"/>
  <c r="I9" i="1"/>
  <c r="I11" i="1"/>
  <c r="I12" i="1"/>
  <c r="I13" i="1"/>
  <c r="I14" i="1"/>
  <c r="I15" i="1"/>
</calcChain>
</file>

<file path=xl/sharedStrings.xml><?xml version="1.0" encoding="utf-8"?>
<sst xmlns="http://schemas.openxmlformats.org/spreadsheetml/2006/main" count="38" uniqueCount="37">
  <si>
    <t>m_GoldDiscsPriceCoins</t>
  </si>
  <si>
    <t>m_GoldDiscsPriceCashGBP</t>
  </si>
  <si>
    <t>levelUpXP</t>
  </si>
  <si>
    <t>upgradesItems</t>
  </si>
  <si>
    <t>JumpsuitRed</t>
  </si>
  <si>
    <t>JumpsuitSilver</t>
  </si>
  <si>
    <t>JumpsuitGold</t>
  </si>
  <si>
    <t>unlockLevel</t>
  </si>
  <si>
    <t>priceCoins</t>
  </si>
  <si>
    <t>priceGoldDiscs</t>
  </si>
  <si>
    <t>permanentItems</t>
  </si>
  <si>
    <t>BlueSuedeShoes</t>
  </si>
  <si>
    <t>SpeedwayHelmet</t>
  </si>
  <si>
    <t>ArmyGun</t>
  </si>
  <si>
    <t>consumableItems</t>
  </si>
  <si>
    <t>SmartBomb</t>
  </si>
  <si>
    <t>Invincible</t>
  </si>
  <si>
    <t>GiantElvis</t>
  </si>
  <si>
    <t>missions</t>
  </si>
  <si>
    <t>Mission1</t>
  </si>
  <si>
    <t>Mission2</t>
  </si>
  <si>
    <t>XP</t>
  </si>
  <si>
    <t>Level</t>
  </si>
  <si>
    <t>Coins</t>
  </si>
  <si>
    <t>GoldDiscs</t>
  </si>
  <si>
    <t>Count</t>
  </si>
  <si>
    <t>Cash spent</t>
  </si>
  <si>
    <t>named columns referenced by VB</t>
  </si>
  <si>
    <t>Status</t>
  </si>
  <si>
    <t>Can buy?</t>
  </si>
  <si>
    <t>editable game data</t>
  </si>
  <si>
    <t>edit or use buttons to play</t>
  </si>
  <si>
    <t>TODO</t>
  </si>
  <si>
    <t>Could use relative references in VB to reduce need to name cells in new rows</t>
  </si>
  <si>
    <t>Use a loop in reset VB</t>
  </si>
  <si>
    <t>graphs and stats to help set</t>
  </si>
  <si>
    <t>simulations to help set param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</si>
</sst>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0" fontId="3" fillId="0" borderId="0" xfId="0" applyFont="1"/>
    <xf numFmtId="0" fontId="3" fillId="5" borderId="0" xfId="0" applyFont="1" applyFill="1"/>
    <xf numFmtId="0" fontId="0" fillId="0" borderId="0" xfId="0" applyAlignment="1">
      <alignment horizontal="center"/>
    </xf>
    <xf numFmtId="0" fontId="4" fillId="4" borderId="0" xfId="0" applyFont="1" applyFill="1" applyAlignment="1">
      <alignment wrapText="1"/>
    </xf>
    <xf numFmtId="0" fontId="4" fillId="5" borderId="0" xfId="0" applyFont="1" applyFill="1" applyAlignment="1">
      <alignment wrapText="1"/>
    </xf>
    <xf numFmtId="0" fontId="4" fillId="3" borderId="0" xfId="0" applyFont="1" applyFill="1" applyAlignment="1">
      <alignment horizontal="left" wrapText="1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Alignment="1">
      <alignment horizontal="left"/>
    </xf>
    <xf numFmtId="0" fontId="5" fillId="0" borderId="0" xfId="0" applyFont="1"/>
    <xf numFmtId="0" fontId="6" fillId="0" borderId="0" xfId="0" applyFont="1"/>
    <xf numFmtId="0" fontId="6" fillId="4" borderId="0" xfId="0" applyFont="1" applyFill="1" applyProtection="1">
      <protection locked="0"/>
    </xf>
    <xf numFmtId="0" fontId="6" fillId="0" borderId="0" xfId="0" applyFont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6" fillId="3" borderId="0" xfId="0" applyFont="1" applyFill="1" applyAlignment="1" applyProtection="1">
      <alignment horizontal="right"/>
      <protection locked="0"/>
    </xf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7</xdr:row>
          <xdr:rowOff>12700</xdr:rowOff>
        </xdr:from>
        <xdr:to>
          <xdr:col>9</xdr:col>
          <xdr:colOff>711200</xdr:colOff>
          <xdr:row>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8</xdr:row>
          <xdr:rowOff>12700</xdr:rowOff>
        </xdr:from>
        <xdr:to>
          <xdr:col>9</xdr:col>
          <xdr:colOff>711200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9</xdr:row>
          <xdr:rowOff>12700</xdr:rowOff>
        </xdr:from>
        <xdr:to>
          <xdr:col>9</xdr:col>
          <xdr:colOff>711200</xdr:colOff>
          <xdr:row>9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11</xdr:row>
          <xdr:rowOff>12700</xdr:rowOff>
        </xdr:from>
        <xdr:to>
          <xdr:col>9</xdr:col>
          <xdr:colOff>711200</xdr:colOff>
          <xdr:row>11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12</xdr:row>
          <xdr:rowOff>12700</xdr:rowOff>
        </xdr:from>
        <xdr:to>
          <xdr:col>9</xdr:col>
          <xdr:colOff>711200</xdr:colOff>
          <xdr:row>12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13</xdr:row>
          <xdr:rowOff>12700</xdr:rowOff>
        </xdr:from>
        <xdr:to>
          <xdr:col>9</xdr:col>
          <xdr:colOff>711200</xdr:colOff>
          <xdr:row>13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14</xdr:row>
          <xdr:rowOff>12700</xdr:rowOff>
        </xdr:from>
        <xdr:to>
          <xdr:col>9</xdr:col>
          <xdr:colOff>711200</xdr:colOff>
          <xdr:row>14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15</xdr:row>
          <xdr:rowOff>12700</xdr:rowOff>
        </xdr:from>
        <xdr:to>
          <xdr:col>9</xdr:col>
          <xdr:colOff>711200</xdr:colOff>
          <xdr:row>15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16</xdr:row>
          <xdr:rowOff>12700</xdr:rowOff>
        </xdr:from>
        <xdr:to>
          <xdr:col>9</xdr:col>
          <xdr:colOff>711200</xdr:colOff>
          <xdr:row>16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17</xdr:row>
          <xdr:rowOff>12700</xdr:rowOff>
        </xdr:from>
        <xdr:to>
          <xdr:col>9</xdr:col>
          <xdr:colOff>711200</xdr:colOff>
          <xdr:row>17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10</xdr:row>
          <xdr:rowOff>12700</xdr:rowOff>
        </xdr:from>
        <xdr:to>
          <xdr:col>9</xdr:col>
          <xdr:colOff>711200</xdr:colOff>
          <xdr:row>10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139700</xdr:colOff>
          <xdr:row>2</xdr:row>
          <xdr:rowOff>12700</xdr:rowOff>
        </xdr:from>
        <xdr:to>
          <xdr:col>3</xdr:col>
          <xdr:colOff>711200</xdr:colOff>
          <xdr:row>2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139700</xdr:colOff>
          <xdr:row>3</xdr:row>
          <xdr:rowOff>12700</xdr:rowOff>
        </xdr:from>
        <xdr:to>
          <xdr:col>3</xdr:col>
          <xdr:colOff>711200</xdr:colOff>
          <xdr:row>3</xdr:row>
          <xdr:rowOff>190500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139700</xdr:colOff>
          <xdr:row>1</xdr:row>
          <xdr:rowOff>12700</xdr:rowOff>
        </xdr:from>
        <xdr:to>
          <xdr:col>5</xdr:col>
          <xdr:colOff>711200</xdr:colOff>
          <xdr:row>1</xdr:row>
          <xdr:rowOff>190500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139700</xdr:colOff>
          <xdr:row>1</xdr:row>
          <xdr:rowOff>12700</xdr:rowOff>
        </xdr:from>
        <xdr:to>
          <xdr:col>6</xdr:col>
          <xdr:colOff>711200</xdr:colOff>
          <xdr:row>1</xdr:row>
          <xdr:rowOff>190500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139700</xdr:colOff>
          <xdr:row>1</xdr:row>
          <xdr:rowOff>12700</xdr:rowOff>
        </xdr:from>
        <xdr:to>
          <xdr:col>7</xdr:col>
          <xdr:colOff>711200</xdr:colOff>
          <xdr:row>1</xdr:row>
          <xdr:rowOff>190500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139700</xdr:colOff>
          <xdr:row>0</xdr:row>
          <xdr:rowOff>12700</xdr:rowOff>
        </xdr:from>
        <xdr:to>
          <xdr:col>9</xdr:col>
          <xdr:colOff>711200</xdr:colOff>
          <xdr:row>0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X32"/>
  <sheetViews>
    <sheetView tabSelected="1" zoomScale="150" zoomScaleNormal="150" zoomScalePageLayoutView="150" workbookViewId="0">
      <selection activeCell="G10" sqref="G10"/>
    </sheetView>
  </sheetViews>
  <sheetFormatPr baseColWidth="10" defaultColWidth="11" defaultRowHeight="15" x14ac:dyDescent="0"/>
  <cols>
    <col min="1" max="1" width="3.1640625" customWidth="1"/>
    <col min="2" max="2" width="23" bestFit="1" customWidth="1"/>
    <col min="3" max="3" width="15.5" bestFit="1" customWidth="1"/>
    <col min="6" max="6" width="13" customWidth="1"/>
    <col min="7" max="7" width="13.1640625" bestFit="1" customWidth="1"/>
  </cols>
  <sheetData>
    <row r="1" spans="2:9" ht="23">
      <c r="D1" s="6" t="s">
        <v>30</v>
      </c>
      <c r="E1" s="7" t="s">
        <v>27</v>
      </c>
      <c r="F1" s="8" t="s">
        <v>31</v>
      </c>
    </row>
    <row r="3" spans="2:9">
      <c r="B3" s="3" t="s">
        <v>0</v>
      </c>
      <c r="C3" s="9">
        <v>10000</v>
      </c>
      <c r="F3" s="3" t="s">
        <v>21</v>
      </c>
      <c r="G3" s="3" t="s">
        <v>23</v>
      </c>
      <c r="H3" s="3" t="s">
        <v>24</v>
      </c>
      <c r="I3" s="3" t="s">
        <v>26</v>
      </c>
    </row>
    <row r="4" spans="2:9">
      <c r="B4" s="3" t="s">
        <v>1</v>
      </c>
      <c r="C4" s="9">
        <v>0.99</v>
      </c>
      <c r="F4" s="10">
        <v>1400</v>
      </c>
      <c r="G4" s="10">
        <v>5300</v>
      </c>
      <c r="H4" s="10">
        <v>0</v>
      </c>
      <c r="I4" s="11">
        <v>0</v>
      </c>
    </row>
    <row r="5" spans="2:9">
      <c r="E5" s="2" t="s">
        <v>22</v>
      </c>
      <c r="F5">
        <f>LOOKUP(F4,C25:CO25,C24:CO24)</f>
        <v>7</v>
      </c>
    </row>
    <row r="7" spans="2:9">
      <c r="D7" s="3" t="s">
        <v>7</v>
      </c>
      <c r="E7" s="4" t="s">
        <v>8</v>
      </c>
      <c r="F7" s="4" t="s">
        <v>9</v>
      </c>
      <c r="G7" s="3" t="s">
        <v>28</v>
      </c>
      <c r="H7" s="4" t="s">
        <v>25</v>
      </c>
      <c r="I7" s="3" t="s">
        <v>29</v>
      </c>
    </row>
    <row r="8" spans="2:9">
      <c r="B8" s="3" t="s">
        <v>3</v>
      </c>
      <c r="C8" t="s">
        <v>4</v>
      </c>
      <c r="D8" s="9">
        <v>1</v>
      </c>
      <c r="E8" s="9">
        <v>5000</v>
      </c>
      <c r="F8" s="9">
        <v>1</v>
      </c>
      <c r="G8" s="5" t="str">
        <f t="shared" ref="G8:G13" si="0">IF(D8&lt;=$F$5,IF(H8=0,IF(E8&lt;=$G$4,IF(F8&lt;=$H$4,"UNLOCKED","CAN'T AFFORD"),"CAN'T AFFORD"),"OWN"),"LOCKED")</f>
        <v>CAN'T AFFORD</v>
      </c>
      <c r="H8" s="17">
        <v>0</v>
      </c>
      <c r="I8" s="12" t="str">
        <f>IF(G8="UNLOCKED","BUY?","")</f>
        <v/>
      </c>
    </row>
    <row r="9" spans="2:9">
      <c r="B9" s="3"/>
      <c r="C9" t="s">
        <v>5</v>
      </c>
      <c r="D9" s="9">
        <v>10</v>
      </c>
      <c r="E9" s="9">
        <v>25000</v>
      </c>
      <c r="F9" s="9">
        <v>5</v>
      </c>
      <c r="G9" s="5" t="str">
        <f t="shared" si="0"/>
        <v>LOCKED</v>
      </c>
      <c r="H9" s="17">
        <v>0</v>
      </c>
      <c r="I9" s="12" t="str">
        <f t="shared" ref="I9:I18" si="1">IF(G9="UNLOCKED","BUY?","")</f>
        <v/>
      </c>
    </row>
    <row r="10" spans="2:9">
      <c r="B10" s="3"/>
      <c r="C10" t="s">
        <v>6</v>
      </c>
      <c r="D10" s="9">
        <v>20</v>
      </c>
      <c r="E10" s="9">
        <v>150000</v>
      </c>
      <c r="F10" s="9">
        <v>20</v>
      </c>
      <c r="G10" s="5" t="str">
        <f t="shared" si="0"/>
        <v>LOCKED</v>
      </c>
      <c r="H10" s="17">
        <v>0</v>
      </c>
      <c r="I10" s="12" t="str">
        <f t="shared" si="1"/>
        <v/>
      </c>
    </row>
    <row r="11" spans="2:9">
      <c r="B11" s="3" t="s">
        <v>10</v>
      </c>
      <c r="C11" t="s">
        <v>11</v>
      </c>
      <c r="D11" s="9">
        <v>5</v>
      </c>
      <c r="E11" s="9">
        <v>10000</v>
      </c>
      <c r="F11" s="9">
        <v>0</v>
      </c>
      <c r="G11" s="5" t="str">
        <f t="shared" si="0"/>
        <v>CAN'T AFFORD</v>
      </c>
      <c r="H11" s="17">
        <v>0</v>
      </c>
      <c r="I11" s="12" t="str">
        <f t="shared" si="1"/>
        <v/>
      </c>
    </row>
    <row r="12" spans="2:9">
      <c r="B12" s="3"/>
      <c r="C12" t="s">
        <v>12</v>
      </c>
      <c r="D12" s="9">
        <v>12</v>
      </c>
      <c r="E12" s="9">
        <v>40000</v>
      </c>
      <c r="F12" s="9">
        <v>1</v>
      </c>
      <c r="G12" s="5" t="str">
        <f t="shared" si="0"/>
        <v>LOCKED</v>
      </c>
      <c r="H12" s="17">
        <v>0</v>
      </c>
      <c r="I12" s="12" t="str">
        <f t="shared" si="1"/>
        <v/>
      </c>
    </row>
    <row r="13" spans="2:9">
      <c r="B13" s="3"/>
      <c r="C13" t="s">
        <v>13</v>
      </c>
      <c r="D13" s="9">
        <v>16</v>
      </c>
      <c r="E13" s="9">
        <v>100000</v>
      </c>
      <c r="F13" s="9">
        <v>5</v>
      </c>
      <c r="G13" s="5" t="str">
        <f t="shared" si="0"/>
        <v>LOCKED</v>
      </c>
      <c r="H13" s="17">
        <v>0</v>
      </c>
      <c r="I13" s="12" t="str">
        <f t="shared" si="1"/>
        <v/>
      </c>
    </row>
    <row r="14" spans="2:9">
      <c r="B14" s="3" t="s">
        <v>14</v>
      </c>
      <c r="C14" t="s">
        <v>15</v>
      </c>
      <c r="D14" s="9">
        <v>3</v>
      </c>
      <c r="E14" s="9">
        <v>2000</v>
      </c>
      <c r="F14" s="9">
        <v>0</v>
      </c>
      <c r="G14" s="5" t="str">
        <f>IF(D14&lt;=$F$5,IF(E14&lt;=$G$4,IF(F14&lt;=$F$14,"UNLOCKED","CAN'T AFFORD"),"CAN'T AFFORD"),"LOCKED")</f>
        <v>UNLOCKED</v>
      </c>
      <c r="H14" s="17">
        <v>0</v>
      </c>
      <c r="I14" s="12" t="str">
        <f t="shared" si="1"/>
        <v>BUY?</v>
      </c>
    </row>
    <row r="15" spans="2:9">
      <c r="B15" s="3"/>
      <c r="C15" t="s">
        <v>16</v>
      </c>
      <c r="D15" s="9">
        <v>8</v>
      </c>
      <c r="E15" s="9">
        <v>4000</v>
      </c>
      <c r="F15" s="9">
        <v>1</v>
      </c>
      <c r="G15" s="5" t="str">
        <f>IF(D15&lt;=$F$5,IF(E15&lt;=$G$4,IF(F15&lt;=$F$14,"UNLOCKED","CAN'T AFFORD"),"CAN'T AFFORD"),"LOCKED")</f>
        <v>LOCKED</v>
      </c>
      <c r="H15" s="17">
        <v>0</v>
      </c>
      <c r="I15" s="12" t="str">
        <f t="shared" si="1"/>
        <v/>
      </c>
    </row>
    <row r="16" spans="2:9">
      <c r="B16" s="3"/>
      <c r="C16" t="s">
        <v>17</v>
      </c>
      <c r="D16" s="9">
        <v>14</v>
      </c>
      <c r="E16" s="9">
        <v>6000</v>
      </c>
      <c r="F16" s="9">
        <v>2</v>
      </c>
      <c r="G16" s="5" t="str">
        <f>IF(D16&lt;=$F$5,IF(E16&lt;=$G$4,IF(F16&lt;=$F$14,"UNLOCKED","CAN'T AFFORD"),"CAN'T AFFORD"),"LOCKED")</f>
        <v>LOCKED</v>
      </c>
      <c r="H16" s="17">
        <v>0</v>
      </c>
      <c r="I16" s="12" t="str">
        <f t="shared" si="1"/>
        <v/>
      </c>
    </row>
    <row r="17" spans="2:24">
      <c r="B17" s="13" t="s">
        <v>18</v>
      </c>
      <c r="C17" s="14" t="s">
        <v>19</v>
      </c>
      <c r="D17" s="15">
        <v>50</v>
      </c>
      <c r="E17" s="15">
        <v>500</v>
      </c>
      <c r="F17" s="15">
        <v>1</v>
      </c>
      <c r="G17" s="16" t="str">
        <f>IF(D17&lt;=$F$5,IF(H17=0,IF(E17&lt;=$G$4,IF(F17&lt;=$H$4,"UNLOCKED","CAN'T AFFORD"),"CAN'T AFFORD"),"OWN"),"LOCKED")</f>
        <v>LOCKED</v>
      </c>
      <c r="H17" s="18">
        <v>0</v>
      </c>
      <c r="I17" s="12" t="str">
        <f t="shared" si="1"/>
        <v/>
      </c>
      <c r="J17" s="14"/>
    </row>
    <row r="18" spans="2:24">
      <c r="B18" s="14"/>
      <c r="C18" s="14" t="s">
        <v>20</v>
      </c>
      <c r="D18" s="15">
        <v>100</v>
      </c>
      <c r="E18" s="15">
        <v>1000</v>
      </c>
      <c r="F18" s="15">
        <v>2</v>
      </c>
      <c r="G18" s="16" t="str">
        <f>IF(D18&lt;=$F$5,IF(H18=0,IF(E18&lt;=$G$4,IF(F18&lt;=$H$4,"UNLOCKED","CAN'T AFFORD"),"CAN'T AFFORD"),"OWN"),"LOCKED")</f>
        <v>LOCKED</v>
      </c>
      <c r="H18" s="18">
        <v>0</v>
      </c>
      <c r="I18" s="12" t="str">
        <f t="shared" si="1"/>
        <v/>
      </c>
      <c r="J18" s="14"/>
    </row>
    <row r="24" spans="2:24">
      <c r="C24" t="s">
        <v>2</v>
      </c>
      <c r="D24">
        <v>0</v>
      </c>
      <c r="E24">
        <v>1</v>
      </c>
      <c r="F24">
        <v>2</v>
      </c>
      <c r="G24">
        <v>3</v>
      </c>
      <c r="H24">
        <v>4</v>
      </c>
      <c r="I24">
        <v>5</v>
      </c>
      <c r="J24">
        <v>6</v>
      </c>
      <c r="K24">
        <v>7</v>
      </c>
      <c r="L24">
        <v>8</v>
      </c>
      <c r="M24">
        <v>9</v>
      </c>
      <c r="N24">
        <v>10</v>
      </c>
      <c r="O24">
        <v>11</v>
      </c>
      <c r="P24">
        <v>12</v>
      </c>
      <c r="Q24">
        <v>13</v>
      </c>
      <c r="R24">
        <v>14</v>
      </c>
      <c r="S24">
        <v>15</v>
      </c>
      <c r="T24">
        <v>16</v>
      </c>
      <c r="U24">
        <v>17</v>
      </c>
      <c r="V24">
        <v>18</v>
      </c>
      <c r="W24">
        <v>19</v>
      </c>
      <c r="X24">
        <v>20</v>
      </c>
    </row>
    <row r="25" spans="2:24">
      <c r="D25">
        <v>-1</v>
      </c>
      <c r="E25">
        <v>0</v>
      </c>
      <c r="F25" s="17">
        <v>500</v>
      </c>
      <c r="G25" s="17">
        <v>600</v>
      </c>
      <c r="H25" s="17">
        <v>700</v>
      </c>
      <c r="I25" s="17">
        <v>900</v>
      </c>
      <c r="J25" s="17">
        <v>1000</v>
      </c>
      <c r="K25" s="17">
        <v>1200</v>
      </c>
      <c r="L25" s="17">
        <v>1500</v>
      </c>
      <c r="M25" s="17">
        <v>1800</v>
      </c>
      <c r="N25" s="17">
        <v>2100</v>
      </c>
      <c r="O25" s="17">
        <v>2600</v>
      </c>
      <c r="P25" s="17">
        <v>3100</v>
      </c>
      <c r="Q25" s="17">
        <v>3700</v>
      </c>
      <c r="R25" s="17">
        <v>4500</v>
      </c>
      <c r="S25" s="17">
        <v>5300</v>
      </c>
      <c r="T25" s="17">
        <v>6400</v>
      </c>
      <c r="U25" s="17">
        <v>7700</v>
      </c>
      <c r="V25" s="17">
        <v>9200</v>
      </c>
      <c r="W25" s="17">
        <v>11100</v>
      </c>
      <c r="X25" s="17">
        <v>13300</v>
      </c>
    </row>
    <row r="27" spans="2:24">
      <c r="B27" s="1" t="s">
        <v>32</v>
      </c>
    </row>
    <row r="28" spans="2:24">
      <c r="B28" t="s">
        <v>18</v>
      </c>
    </row>
    <row r="29" spans="2:24">
      <c r="B29" t="s">
        <v>33</v>
      </c>
    </row>
    <row r="30" spans="2:24">
      <c r="B30" t="s">
        <v>34</v>
      </c>
    </row>
    <row r="31" spans="2:24">
      <c r="B31" t="s">
        <v>35</v>
      </c>
    </row>
    <row r="32" spans="2:24">
      <c r="B32" t="s">
        <v>36</v>
      </c>
    </row>
  </sheetData>
  <sheetProtection sheet="1" objects="1" scenarios="1"/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uyItem1_Click">
                <anchor moveWithCells="1">
                  <from>
                    <xdr:col>9</xdr:col>
                    <xdr:colOff>139700</xdr:colOff>
                    <xdr:row>7</xdr:row>
                    <xdr:rowOff>12700</xdr:rowOff>
                  </from>
                  <to>
                    <xdr:col>9</xdr:col>
                    <xdr:colOff>711200</xdr:colOff>
                    <xdr:row>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yItem2_Click">
                <anchor moveWithCells="1">
                  <from>
                    <xdr:col>9</xdr:col>
                    <xdr:colOff>139700</xdr:colOff>
                    <xdr:row>8</xdr:row>
                    <xdr:rowOff>12700</xdr:rowOff>
                  </from>
                  <to>
                    <xdr:col>9</xdr:col>
                    <xdr:colOff>711200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yItem3_Click">
                <anchor moveWithCells="1">
                  <from>
                    <xdr:col>9</xdr:col>
                    <xdr:colOff>139700</xdr:colOff>
                    <xdr:row>9</xdr:row>
                    <xdr:rowOff>12700</xdr:rowOff>
                  </from>
                  <to>
                    <xdr:col>9</xdr:col>
                    <xdr:colOff>711200</xdr:colOff>
                    <xdr:row>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uyItem5_Click">
                <anchor moveWithCells="1">
                  <from>
                    <xdr:col>9</xdr:col>
                    <xdr:colOff>139700</xdr:colOff>
                    <xdr:row>11</xdr:row>
                    <xdr:rowOff>12700</xdr:rowOff>
                  </from>
                  <to>
                    <xdr:col>9</xdr:col>
                    <xdr:colOff>711200</xdr:colOff>
                    <xdr:row>11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BuyItem6_Click">
                <anchor moveWithCells="1">
                  <from>
                    <xdr:col>9</xdr:col>
                    <xdr:colOff>139700</xdr:colOff>
                    <xdr:row>12</xdr:row>
                    <xdr:rowOff>12700</xdr:rowOff>
                  </from>
                  <to>
                    <xdr:col>9</xdr:col>
                    <xdr:colOff>711200</xdr:colOff>
                    <xdr:row>12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uyItem7_Click">
                <anchor moveWithCells="1">
                  <from>
                    <xdr:col>9</xdr:col>
                    <xdr:colOff>139700</xdr:colOff>
                    <xdr:row>13</xdr:row>
                    <xdr:rowOff>12700</xdr:rowOff>
                  </from>
                  <to>
                    <xdr:col>9</xdr:col>
                    <xdr:colOff>711200</xdr:colOff>
                    <xdr:row>13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uyItem8_Click">
                <anchor moveWithCells="1">
                  <from>
                    <xdr:col>9</xdr:col>
                    <xdr:colOff>139700</xdr:colOff>
                    <xdr:row>14</xdr:row>
                    <xdr:rowOff>12700</xdr:rowOff>
                  </from>
                  <to>
                    <xdr:col>9</xdr:col>
                    <xdr:colOff>711200</xdr:colOff>
                    <xdr:row>14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uyItem9_Click">
                <anchor moveWithCells="1">
                  <from>
                    <xdr:col>9</xdr:col>
                    <xdr:colOff>139700</xdr:colOff>
                    <xdr:row>15</xdr:row>
                    <xdr:rowOff>12700</xdr:rowOff>
                  </from>
                  <to>
                    <xdr:col>9</xdr:col>
                    <xdr:colOff>711200</xdr:colOff>
                    <xdr:row>15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uyItem10_Click">
                <anchor moveWithCells="1">
                  <from>
                    <xdr:col>9</xdr:col>
                    <xdr:colOff>139700</xdr:colOff>
                    <xdr:row>16</xdr:row>
                    <xdr:rowOff>12700</xdr:rowOff>
                  </from>
                  <to>
                    <xdr:col>9</xdr:col>
                    <xdr:colOff>711200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BuyItem11_Click">
                <anchor moveWithCells="1">
                  <from>
                    <xdr:col>9</xdr:col>
                    <xdr:colOff>139700</xdr:colOff>
                    <xdr:row>17</xdr:row>
                    <xdr:rowOff>12700</xdr:rowOff>
                  </from>
                  <to>
                    <xdr:col>9</xdr:col>
                    <xdr:colOff>711200</xdr:colOff>
                    <xdr:row>17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BuyItem4_Click">
                <anchor moveWithCells="1">
                  <from>
                    <xdr:col>9</xdr:col>
                    <xdr:colOff>139700</xdr:colOff>
                    <xdr:row>10</xdr:row>
                    <xdr:rowOff>12700</xdr:rowOff>
                  </from>
                  <to>
                    <xdr:col>9</xdr:col>
                    <xdr:colOff>711200</xdr:colOff>
                    <xdr:row>10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ButtonGDCoins_Click">
                <anchor moveWithCells="1">
                  <from>
                    <xdr:col>3</xdr:col>
                    <xdr:colOff>139700</xdr:colOff>
                    <xdr:row>2</xdr:row>
                    <xdr:rowOff>12700</xdr:rowOff>
                  </from>
                  <to>
                    <xdr:col>3</xdr:col>
                    <xdr:colOff>711200</xdr:colOff>
                    <xdr:row>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ButtonGDCash_Click">
                <anchor moveWithCells="1">
                  <from>
                    <xdr:col>3</xdr:col>
                    <xdr:colOff>139700</xdr:colOff>
                    <xdr:row>3</xdr:row>
                    <xdr:rowOff>12700</xdr:rowOff>
                  </from>
                  <to>
                    <xdr:col>3</xdr:col>
                    <xdr:colOff>711200</xdr:colOff>
                    <xdr:row>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ButtonWinXP_Click">
                <anchor moveWithCells="1">
                  <from>
                    <xdr:col>5</xdr:col>
                    <xdr:colOff>139700</xdr:colOff>
                    <xdr:row>1</xdr:row>
                    <xdr:rowOff>12700</xdr:rowOff>
                  </from>
                  <to>
                    <xdr:col>5</xdr:col>
                    <xdr:colOff>711200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ButtonWinCoins_Click">
                <anchor moveWithCells="1">
                  <from>
                    <xdr:col>6</xdr:col>
                    <xdr:colOff>139700</xdr:colOff>
                    <xdr:row>1</xdr:row>
                    <xdr:rowOff>12700</xdr:rowOff>
                  </from>
                  <to>
                    <xdr:col>6</xdr:col>
                    <xdr:colOff>711200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[0]!ButtonWinGD_Click">
                <anchor moveWithCells="1">
                  <from>
                    <xdr:col>7</xdr:col>
                    <xdr:colOff>139700</xdr:colOff>
                    <xdr:row>1</xdr:row>
                    <xdr:rowOff>12700</xdr:rowOff>
                  </from>
                  <to>
                    <xdr:col>7</xdr:col>
                    <xdr:colOff>711200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[0]!ButtonRESET_Click">
                <anchor moveWithCells="1">
                  <from>
                    <xdr:col>9</xdr:col>
                    <xdr:colOff>139700</xdr:colOff>
                    <xdr:row>0</xdr:row>
                    <xdr:rowOff>12700</xdr:rowOff>
                  </from>
                  <to>
                    <xdr:col>9</xdr:col>
                    <xdr:colOff>711200</xdr:colOff>
                    <xdr:row>0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Daly</dc:creator>
  <cp:lastModifiedBy>Ed Daly</cp:lastModifiedBy>
  <dcterms:created xsi:type="dcterms:W3CDTF">2013-07-03T19:50:15Z</dcterms:created>
  <dcterms:modified xsi:type="dcterms:W3CDTF">2013-07-12T21:10:04Z</dcterms:modified>
</cp:coreProperties>
</file>